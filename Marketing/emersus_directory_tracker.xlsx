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ctory Tracker" sheetId="1" state="visible" r:id="rId3"/>
    <sheet name="Summary" sheetId="2" state="visible" r:id="rId4"/>
    <sheet name="Submission Assets" sheetId="3" state="visible" r:id="rId5"/>
  </sheets>
  <definedNames>
    <definedName function="false" hidden="true" localSheetId="0" name="_xlnm._FilterDatabase" vbProcedure="false">'Directory Tracker'!$A$1:$L$1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<sst xmlns="http://schemas.openxmlformats.org/spreadsheetml/2006/main" count="450" uniqueCount="220">
  <si>
    <t xml:space="preserve">Directory</t>
  </si>
  <si>
    <t xml:space="preserve">URL</t>
  </si>
  <si>
    <t xml:space="preserve">Category</t>
  </si>
  <si>
    <t xml:space="preserve">Tier</t>
  </si>
  <si>
    <t xml:space="preserve">DR (est.)</t>
  </si>
  <si>
    <t xml:space="preserve">Dofollow?</t>
  </si>
  <si>
    <t xml:space="preserve">Cost</t>
  </si>
  <si>
    <t xml:space="preserve">Status</t>
  </si>
  <si>
    <t xml:space="preserve">Date Submitted</t>
  </si>
  <si>
    <t xml:space="preserve">Date Listed</t>
  </si>
  <si>
    <t xml:space="preserve">Backlink URL</t>
  </si>
  <si>
    <t xml:space="preserve">Notes</t>
  </si>
  <si>
    <t xml:space="preserve">Product Hunt</t>
  </si>
  <si>
    <t xml:space="preserve">https://producthunt.com</t>
  </si>
  <si>
    <t xml:space="preserve">General</t>
  </si>
  <si>
    <t xml:space="preserve">Tier 1</t>
  </si>
  <si>
    <t xml:space="preserve">91</t>
  </si>
  <si>
    <t xml:space="preserve">No</t>
  </si>
  <si>
    <t xml:space="preserve">Free</t>
  </si>
  <si>
    <t xml:space="preserve">Not Started</t>
  </si>
  <si>
    <t xml:space="preserve">Plan launch day 2-3 weeks ahead. Big traffic spike potential.</t>
  </si>
  <si>
    <t xml:space="preserve">G2</t>
  </si>
  <si>
    <t xml:space="preserve">https://g2.com</t>
  </si>
  <si>
    <t xml:space="preserve">Mixed</t>
  </si>
  <si>
    <t xml:space="preserve">Free basic</t>
  </si>
  <si>
    <t xml:space="preserve">Claim profile, collect reviews. Owns Capterra now.</t>
  </si>
  <si>
    <t xml:space="preserve">Crunchbase</t>
  </si>
  <si>
    <t xml:space="preserve">https://crunchbase.com</t>
  </si>
  <si>
    <t xml:space="preserve">90</t>
  </si>
  <si>
    <t xml:space="preserve">Investors check here first. Keep profile updated.</t>
  </si>
  <si>
    <t xml:space="preserve">AlternativeTo</t>
  </si>
  <si>
    <t xml:space="preserve">https://alternativeto.net</t>
  </si>
  <si>
    <t xml:space="preserve">80+</t>
  </si>
  <si>
    <t xml:space="preserve">Yes</t>
  </si>
  <si>
    <t xml:space="preserve">List as alternative to MyFitnessPal, Cronometer, Examine.com</t>
  </si>
  <si>
    <t xml:space="preserve">Capterra</t>
  </si>
  <si>
    <t xml:space="preserve">https://capterra.com</t>
  </si>
  <si>
    <t xml:space="preserve">90+</t>
  </si>
  <si>
    <t xml:space="preserve">Now owned by G2. Syndicated listing.</t>
  </si>
  <si>
    <t xml:space="preserve">BetaList</t>
  </si>
  <si>
    <t xml:space="preserve">https://betalist.com</t>
  </si>
  <si>
    <t xml:space="preserve">Tier 2</t>
  </si>
  <si>
    <t xml:space="preserve">70+</t>
  </si>
  <si>
    <t xml:space="preserve">Free / $129 fast</t>
  </si>
  <si>
    <t xml:space="preserve">Good for pre-launch / beta products</t>
  </si>
  <si>
    <t xml:space="preserve">SaaSHub</t>
  </si>
  <si>
    <t xml:space="preserve">https://saashub.com</t>
  </si>
  <si>
    <t xml:space="preserve">65+</t>
  </si>
  <si>
    <t xml:space="preserve">Alternatives + reviews focused</t>
  </si>
  <si>
    <t xml:space="preserve">Fazier</t>
  </si>
  <si>
    <t xml:space="preserve">https://fazier.com</t>
  </si>
  <si>
    <t xml:space="preserve">40+</t>
  </si>
  <si>
    <t xml:space="preserve">AntForms hit #1 here</t>
  </si>
  <si>
    <t xml:space="preserve">PeerPush</t>
  </si>
  <si>
    <t xml:space="preserve">https://peerpush.com</t>
  </si>
  <si>
    <t xml:space="preserve">30+</t>
  </si>
  <si>
    <t xml:space="preserve">Community voting. AntForms hit #1.</t>
  </si>
  <si>
    <t xml:space="preserve">Uneed</t>
  </si>
  <si>
    <t xml:space="preserve">https://uneed.best</t>
  </si>
  <si>
    <t xml:space="preserve">50+</t>
  </si>
  <si>
    <t xml:space="preserve">Popular PH alternative</t>
  </si>
  <si>
    <t xml:space="preserve">F6S</t>
  </si>
  <si>
    <t xml:space="preserve">https://f6s.com</t>
  </si>
  <si>
    <t xml:space="preserve">Startup ecosystem. Dofollow. No competitor ads.</t>
  </si>
  <si>
    <t xml:space="preserve">Indie Hackers</t>
  </si>
  <si>
    <t xml:space="preserve">https://indiehackers.com</t>
  </si>
  <si>
    <t xml:space="preserve">Community + product listing</t>
  </si>
  <si>
    <t xml:space="preserve">Startupbase</t>
  </si>
  <si>
    <t xml:space="preserve">https://startupbase.io</t>
  </si>
  <si>
    <t xml:space="preserve">Early-stage products, founder connections</t>
  </si>
  <si>
    <t xml:space="preserve">GetApp</t>
  </si>
  <si>
    <t xml:space="preserve">https://getapp.com</t>
  </si>
  <si>
    <t xml:space="preserve">Gartner-owned, syndicates with Capterra</t>
  </si>
  <si>
    <t xml:space="preserve">Trustpilot</t>
  </si>
  <si>
    <t xml:space="preserve">https://trustpilot.com</t>
  </si>
  <si>
    <t xml:space="preserve">Social proof / reviews</t>
  </si>
  <si>
    <t xml:space="preserve">TAAFT (There's An AI For That)</t>
  </si>
  <si>
    <t xml:space="preserve">https://theresanaiforthat.com</t>
  </si>
  <si>
    <t xml:space="preserve">AI</t>
  </si>
  <si>
    <t xml:space="preserve">76</t>
  </si>
  <si>
    <t xml:space="preserve">Free + paid featured</t>
  </si>
  <si>
    <t xml:space="preserve">2M+ monthly visitors. Largest AI directory.</t>
  </si>
  <si>
    <t xml:space="preserve">Futurepedia</t>
  </si>
  <si>
    <t xml:space="preserve">https://futurepedia.io</t>
  </si>
  <si>
    <t xml:space="preserve">69</t>
  </si>
  <si>
    <t xml:space="preserve">5000+ tools, 54 categories. Strong SEO.</t>
  </si>
  <si>
    <t xml:space="preserve">Dang AI</t>
  </si>
  <si>
    <t xml:space="preserve">https://dang.ai</t>
  </si>
  <si>
    <t xml:space="preserve">80</t>
  </si>
  <si>
    <t xml:space="preserve">Free w/ badge</t>
  </si>
  <si>
    <t xml:space="preserve">Free with verification badge on your site</t>
  </si>
  <si>
    <t xml:space="preserve">AI Tools Directory</t>
  </si>
  <si>
    <t xml:space="preserve">https://aitoolsdirectory.com</t>
  </si>
  <si>
    <t xml:space="preserve">60+</t>
  </si>
  <si>
    <t xml:space="preserve">Curated list, free submit</t>
  </si>
  <si>
    <t xml:space="preserve">TheAISurf</t>
  </si>
  <si>
    <t xml:space="preserve">https://theaisurf.com</t>
  </si>
  <si>
    <t xml:space="preserve">Large directory, open submissions</t>
  </si>
  <si>
    <t xml:space="preserve">NextGen Tools</t>
  </si>
  <si>
    <t xml:space="preserve">https://nxgntools.com</t>
  </si>
  <si>
    <t xml:space="preserve">Dofollow backlinks, featured placement</t>
  </si>
  <si>
    <t xml:space="preserve">Toolify</t>
  </si>
  <si>
    <t xml:space="preserve">https://toolify.ai</t>
  </si>
  <si>
    <t xml:space="preserve">Free + paid</t>
  </si>
  <si>
    <t xml:space="preserve">Growing AI discovery platform</t>
  </si>
  <si>
    <t xml:space="preserve">AI Scout</t>
  </si>
  <si>
    <t xml:space="preserve">https://aiscout.net</t>
  </si>
  <si>
    <t xml:space="preserve">Emerging AI directory</t>
  </si>
  <si>
    <t xml:space="preserve">ListMyAI</t>
  </si>
  <si>
    <t xml:space="preserve">https://listmyai.net</t>
  </si>
  <si>
    <t xml:space="preserve">AI-specific listing platform</t>
  </si>
  <si>
    <t xml:space="preserve">FutureTools</t>
  </si>
  <si>
    <t xml:space="preserve">https://futuretools.io</t>
  </si>
  <si>
    <t xml:space="preserve">Collects &amp; organizes AI tools</t>
  </si>
  <si>
    <t xml:space="preserve">TopTools AI</t>
  </si>
  <si>
    <t xml:space="preserve">https://toptools.ai</t>
  </si>
  <si>
    <t xml:space="preserve">Curated, quality threshold</t>
  </si>
  <si>
    <t xml:space="preserve">RankYourAI</t>
  </si>
  <si>
    <t xml:space="preserve">https://rankyourai.com</t>
  </si>
  <si>
    <t xml:space="preserve">36</t>
  </si>
  <si>
    <t xml:space="preserve">Feedback + competitor comparison</t>
  </si>
  <si>
    <t xml:space="preserve">aiwith.me</t>
  </si>
  <si>
    <t xml:space="preserve">https://aiwith.me</t>
  </si>
  <si>
    <t xml:space="preserve">65</t>
  </si>
  <si>
    <t xml:space="preserve">DR 65 dofollow backlinks</t>
  </si>
  <si>
    <t xml:space="preserve">LaunchBoosts</t>
  </si>
  <si>
    <t xml:space="preserve">https://launchboosts.com</t>
  </si>
  <si>
    <t xml:space="preserve">AI tool directory with dofollow</t>
  </si>
  <si>
    <t xml:space="preserve">Good AI Tools</t>
  </si>
  <si>
    <t xml:space="preserve">https://goodaitools.com</t>
  </si>
  <si>
    <t xml:space="preserve">66</t>
  </si>
  <si>
    <t xml:space="preserve">DR 66, free submit</t>
  </si>
  <si>
    <t xml:space="preserve">Based Tools</t>
  </si>
  <si>
    <t xml:space="preserve">https://basedtools.ai</t>
  </si>
  <si>
    <t xml:space="preserve">Tier 3</t>
  </si>
  <si>
    <t xml:space="preserve">20+</t>
  </si>
  <si>
    <t xml:space="preserve">Best of Web</t>
  </si>
  <si>
    <t xml:space="preserve">https://bestofweb.com</t>
  </si>
  <si>
    <t xml:space="preserve">Free dofollow backlink</t>
  </si>
  <si>
    <t xml:space="preserve">Dofollow.Tools</t>
  </si>
  <si>
    <t xml:space="preserve">https://dofollow.tools</t>
  </si>
  <si>
    <t xml:space="preserve">Specifically for dofollow backlinks</t>
  </si>
  <si>
    <t xml:space="preserve">Spiff.store</t>
  </si>
  <si>
    <t xml:space="preserve">https://spiff.store</t>
  </si>
  <si>
    <t xml:space="preserve">AI tools database</t>
  </si>
  <si>
    <t xml:space="preserve">EliteAI Tools</t>
  </si>
  <si>
    <t xml:space="preserve">https://eliteaitools.com</t>
  </si>
  <si>
    <t xml:space="preserve">High-quality AI tools only</t>
  </si>
  <si>
    <t xml:space="preserve">FastLaunch</t>
  </si>
  <si>
    <t xml:space="preserve">https://fastlaunch.ai</t>
  </si>
  <si>
    <t xml:space="preserve">Launch &amp; discover products</t>
  </si>
  <si>
    <t xml:space="preserve">Aura++</t>
  </si>
  <si>
    <t xml:space="preserve">https://auraplus.co</t>
  </si>
  <si>
    <t xml:space="preserve">Featured launch blog post + social promo</t>
  </si>
  <si>
    <t xml:space="preserve">BuildVoyage</t>
  </si>
  <si>
    <t xml:space="preserve">https://buildvoyage.com</t>
  </si>
  <si>
    <t xml:space="preserve">Micro-SaaS directory</t>
  </si>
  <si>
    <t xml:space="preserve">Directory Healthy</t>
  </si>
  <si>
    <t xml:space="preserve">http://directoryhealthy.com/submitsite/</t>
  </si>
  <si>
    <t xml:space="preserve">Health</t>
  </si>
  <si>
    <t xml:space="preserve">15+</t>
  </si>
  <si>
    <t xml:space="preserve">Wellness directory — nutrition, fitness, health</t>
  </si>
  <si>
    <t xml:space="preserve">Wellfound (AngelList)</t>
  </si>
  <si>
    <t xml:space="preserve">https://wellfound.com</t>
  </si>
  <si>
    <t xml:space="preserve">Company profile + hiring. Good for investor visibility.</t>
  </si>
  <si>
    <t xml:space="preserve">Hacker News (Show HN)</t>
  </si>
  <si>
    <t xml:space="preserve">https://news.ycombinator.com</t>
  </si>
  <si>
    <t xml:space="preserve">Post as Show HN. Massive dev traffic if it hits front page.</t>
  </si>
  <si>
    <t xml:space="preserve">r/artificial</t>
  </si>
  <si>
    <t xml:space="preserve">https://reddit.com/r/artificial</t>
  </si>
  <si>
    <t xml:space="preserve">Community</t>
  </si>
  <si>
    <t xml:space="preserve">AI community hub on Reddit</t>
  </si>
  <si>
    <t xml:space="preserve">r/nutrition</t>
  </si>
  <si>
    <t xml:space="preserve">https://reddit.com/r/nutrition</t>
  </si>
  <si>
    <t xml:space="preserve">Share Emersus as tool, not spam</t>
  </si>
  <si>
    <t xml:space="preserve">r/SaaS</t>
  </si>
  <si>
    <t xml:space="preserve">https://reddit.com/r/SaaS</t>
  </si>
  <si>
    <t xml:space="preserve">Startup showcase threads</t>
  </si>
  <si>
    <t xml:space="preserve">Emersus AI — Directory Submission Summary</t>
  </si>
  <si>
    <t xml:space="preserve">Total Directories</t>
  </si>
  <si>
    <t xml:space="preserve">Tier 1 (High Priority)</t>
  </si>
  <si>
    <t xml:space="preserve">Tier 2 (Medium Priority)</t>
  </si>
  <si>
    <t xml:space="preserve">Tier 3 (Nice to Have)</t>
  </si>
  <si>
    <t xml:space="preserve">Submitted</t>
  </si>
  <si>
    <t xml:space="preserve">Listed</t>
  </si>
  <si>
    <t xml:space="preserve">Recommended Schedule</t>
  </si>
  <si>
    <t xml:space="preserve">Week 1</t>
  </si>
  <si>
    <t xml:space="preserve">Submit all Tier 1 directories (high DR, most impact)</t>
  </si>
  <si>
    <t xml:space="preserve">Week 2</t>
  </si>
  <si>
    <t xml:space="preserve">Submit Tier 2 general + AI directories</t>
  </si>
  <si>
    <t xml:space="preserve">Week 3</t>
  </si>
  <si>
    <t xml:space="preserve">Submit Tier 3 + niche directories</t>
  </si>
  <si>
    <t xml:space="preserve">Week 4+</t>
  </si>
  <si>
    <t xml:space="preserve">Follow up on pending, collect reviews on G2/Capterra</t>
  </si>
  <si>
    <t xml:space="preserve">Prepare These Before Submitting</t>
  </si>
  <si>
    <t xml:space="preserve">Asset</t>
  </si>
  <si>
    <t xml:space="preserve">Status / Notes</t>
  </si>
  <si>
    <t xml:space="preserve">Product Name</t>
  </si>
  <si>
    <t xml:space="preserve">Emersus AI</t>
  </si>
  <si>
    <t xml:space="preserve">Tagline (&lt; 60 chars)</t>
  </si>
  <si>
    <t xml:space="preserve">Evidence-based nutrition &amp; health insights, powered by AI</t>
  </si>
  <si>
    <t xml:space="preserve">Short Description (150 chars)</t>
  </si>
  <si>
    <t xml:space="preserve">Long Description (300-500 chars)</t>
  </si>
  <si>
    <t xml:space="preserve">Logo (PNG, 512x512)</t>
  </si>
  <si>
    <t xml:space="preserve">Screenshot 1 — Dashboard</t>
  </si>
  <si>
    <t xml:space="preserve">Screenshot 2 — Recommendation</t>
  </si>
  <si>
    <t xml:space="preserve">Screenshot 3 — Citation view</t>
  </si>
  <si>
    <t xml:space="preserve">Demo Video (optional)</t>
  </si>
  <si>
    <t xml:space="preserve">Website URL</t>
  </si>
  <si>
    <t xml:space="preserve">Founder Name</t>
  </si>
  <si>
    <t xml:space="preserve">Sidar</t>
  </si>
  <si>
    <t xml:space="preserve">Founder LinkedIn</t>
  </si>
  <si>
    <t xml:space="preserve">Twitter/X handle</t>
  </si>
  <si>
    <t xml:space="preserve">Pricing Model</t>
  </si>
  <si>
    <t xml:space="preserve">Primary Category</t>
  </si>
  <si>
    <t xml:space="preserve">AI / Health &amp; Nutrition</t>
  </si>
  <si>
    <t xml:space="preserve">Target Users</t>
  </si>
  <si>
    <t xml:space="preserve">Consumers, coaches, dietitians, researchers</t>
  </si>
  <si>
    <t xml:space="preserve">Key Differentiator</t>
  </si>
  <si>
    <t xml:space="preserve">PubMed-cited evidence synthesis, not calorie counting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</si>
</sst>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8F5E9"/>
        <bgColor rgb="FFE3F2FD"/>
      </patternFill>
    </fill>
    <fill>
      <patternFill patternType="solid">
        <fgColor rgb="FFFFCDD2"/>
        <bgColor rgb="FFCCCCCC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E8F5E9"/>
      </patternFill>
    </fill>
    <fill>
      <patternFill patternType="solid">
        <fgColor rgb="FF37474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ducthunt.com/" TargetMode="External"/><Relationship Id="rId2" Type="http://schemas.openxmlformats.org/officeDocument/2006/relationships/hyperlink" Target="https://g2.com/" TargetMode="External"/><Relationship Id="rId3" Type="http://schemas.openxmlformats.org/officeDocument/2006/relationships/hyperlink" Target="https://crunchbase.com/" TargetMode="External"/><Relationship Id="rId4" Type="http://schemas.openxmlformats.org/officeDocument/2006/relationships/hyperlink" Target="https://alternativeto.net/" TargetMode="External"/><Relationship Id="rId5" Type="http://schemas.openxmlformats.org/officeDocument/2006/relationships/hyperlink" Target="https://capterra.com/" TargetMode="External"/><Relationship Id="rId6" Type="http://schemas.openxmlformats.org/officeDocument/2006/relationships/hyperlink" Target="https://betalist.com/" TargetMode="External"/><Relationship Id="rId7" Type="http://schemas.openxmlformats.org/officeDocument/2006/relationships/hyperlink" Target="https://saashub.com/" TargetMode="External"/><Relationship Id="rId8" Type="http://schemas.openxmlformats.org/officeDocument/2006/relationships/hyperlink" Target="https://fazier.com/" TargetMode="External"/><Relationship Id="rId9" Type="http://schemas.openxmlformats.org/officeDocument/2006/relationships/hyperlink" Target="https://peerpush.com/" TargetMode="External"/><Relationship Id="rId10" Type="http://schemas.openxmlformats.org/officeDocument/2006/relationships/hyperlink" Target="https://uneed.best/" TargetMode="External"/><Relationship Id="rId11" Type="http://schemas.openxmlformats.org/officeDocument/2006/relationships/hyperlink" Target="https://f6s.com/" TargetMode="External"/><Relationship Id="rId12" Type="http://schemas.openxmlformats.org/officeDocument/2006/relationships/hyperlink" Target="https://indiehackers.com/" TargetMode="External"/><Relationship Id="rId13" Type="http://schemas.openxmlformats.org/officeDocument/2006/relationships/hyperlink" Target="https://startupbase.io/" TargetMode="External"/><Relationship Id="rId14" Type="http://schemas.openxmlformats.org/officeDocument/2006/relationships/hyperlink" Target="https://getapp.com/" TargetMode="External"/><Relationship Id="rId15" Type="http://schemas.openxmlformats.org/officeDocument/2006/relationships/hyperlink" Target="https://trustpilot.com/" TargetMode="External"/><Relationship Id="rId16" Type="http://schemas.openxmlformats.org/officeDocument/2006/relationships/hyperlink" Target="https://theresanaiforthat.com/" TargetMode="External"/><Relationship Id="rId17" Type="http://schemas.openxmlformats.org/officeDocument/2006/relationships/hyperlink" Target="https://futurepedia.io/" TargetMode="External"/><Relationship Id="rId18" Type="http://schemas.openxmlformats.org/officeDocument/2006/relationships/hyperlink" Target="https://dang.ai/" TargetMode="External"/><Relationship Id="rId19" Type="http://schemas.openxmlformats.org/officeDocument/2006/relationships/hyperlink" Target="https://aitoolsdirectory.com/" TargetMode="External"/><Relationship Id="rId20" Type="http://schemas.openxmlformats.org/officeDocument/2006/relationships/hyperlink" Target="https://theaisurf.com/" TargetMode="External"/><Relationship Id="rId21" Type="http://schemas.openxmlformats.org/officeDocument/2006/relationships/hyperlink" Target="https://nxgntools.com/" TargetMode="External"/><Relationship Id="rId22" Type="http://schemas.openxmlformats.org/officeDocument/2006/relationships/hyperlink" Target="https://toolify.ai/" TargetMode="External"/><Relationship Id="rId23" Type="http://schemas.openxmlformats.org/officeDocument/2006/relationships/hyperlink" Target="https://aiscout.net/" TargetMode="External"/><Relationship Id="rId24" Type="http://schemas.openxmlformats.org/officeDocument/2006/relationships/hyperlink" Target="https://listmyai.net/" TargetMode="External"/><Relationship Id="rId25" Type="http://schemas.openxmlformats.org/officeDocument/2006/relationships/hyperlink" Target="https://futuretools.io/" TargetMode="External"/><Relationship Id="rId26" Type="http://schemas.openxmlformats.org/officeDocument/2006/relationships/hyperlink" Target="https://toptools.ai/" TargetMode="External"/><Relationship Id="rId27" Type="http://schemas.openxmlformats.org/officeDocument/2006/relationships/hyperlink" Target="https://rankyourai.com/" TargetMode="External"/><Relationship Id="rId28" Type="http://schemas.openxmlformats.org/officeDocument/2006/relationships/hyperlink" Target="https://aiwith.me/" TargetMode="External"/><Relationship Id="rId29" Type="http://schemas.openxmlformats.org/officeDocument/2006/relationships/hyperlink" Target="https://launchboosts.com/" TargetMode="External"/><Relationship Id="rId30" Type="http://schemas.openxmlformats.org/officeDocument/2006/relationships/hyperlink" Target="https://goodaitools.com/" TargetMode="External"/><Relationship Id="rId31" Type="http://schemas.openxmlformats.org/officeDocument/2006/relationships/hyperlink" Target="https://basedtools.ai/" TargetMode="External"/><Relationship Id="rId32" Type="http://schemas.openxmlformats.org/officeDocument/2006/relationships/hyperlink" Target="https://bestofweb.com/" TargetMode="External"/><Relationship Id="rId33" Type="http://schemas.openxmlformats.org/officeDocument/2006/relationships/hyperlink" Target="https://dofollow.tools/" TargetMode="External"/><Relationship Id="rId34" Type="http://schemas.openxmlformats.org/officeDocument/2006/relationships/hyperlink" Target="https://spiff.store/" TargetMode="External"/><Relationship Id="rId35" Type="http://schemas.openxmlformats.org/officeDocument/2006/relationships/hyperlink" Target="https://eliteaitools.com/" TargetMode="External"/><Relationship Id="rId36" Type="http://schemas.openxmlformats.org/officeDocument/2006/relationships/hyperlink" Target="https://fastlaunch.ai/" TargetMode="External"/><Relationship Id="rId37" Type="http://schemas.openxmlformats.org/officeDocument/2006/relationships/hyperlink" Target="https://auraplus.co/" TargetMode="External"/><Relationship Id="rId38" Type="http://schemas.openxmlformats.org/officeDocument/2006/relationships/hyperlink" Target="https://buildvoyage.com/" TargetMode="External"/><Relationship Id="rId39" Type="http://schemas.openxmlformats.org/officeDocument/2006/relationships/hyperlink" Target="http://directoryhealthy.com/submitsite/" TargetMode="External"/><Relationship Id="rId40" Type="http://schemas.openxmlformats.org/officeDocument/2006/relationships/hyperlink" Target="https://wellfound.com/" TargetMode="External"/><Relationship Id="rId41" Type="http://schemas.openxmlformats.org/officeDocument/2006/relationships/hyperlink" Target="https://news.ycombinator.com/" TargetMode="External"/><Relationship Id="rId42" Type="http://schemas.openxmlformats.org/officeDocument/2006/relationships/hyperlink" Target="https://reddit.com/r/artificial" TargetMode="External"/><Relationship Id="rId43" Type="http://schemas.openxmlformats.org/officeDocument/2006/relationships/hyperlink" Target="https://reddit.com/r/nutrition" TargetMode="External"/><Relationship Id="rId44" Type="http://schemas.openxmlformats.org/officeDocument/2006/relationships/hyperlink" Target="https://reddit.com/r/SaaS" TargetMode="External"/><Relationship Id="rId4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3" t="s">
        <v>13</v>
      </c>
      <c r="C2" s="2" t="s">
        <v>14</v>
      </c>
      <c r="D2" s="4" t="s">
        <v>15</v>
      </c>
      <c r="E2" s="2" t="s">
        <v>16</v>
      </c>
      <c r="F2" s="2" t="s">
        <v>17</v>
      </c>
      <c r="G2" s="2" t="s">
        <v>18</v>
      </c>
      <c r="H2" s="5" t="s">
        <v>19</v>
      </c>
      <c r="I2" s="2"/>
      <c r="J2" s="2"/>
      <c r="K2" s="2"/>
      <c r="L2" s="6" t="s">
        <v>20</v>
      </c>
    </row>
    <row r="3" customFormat="false" ht="23.85" hidden="false" customHeight="false" outlineLevel="0" collapsed="false">
      <c r="A3" s="2" t="s">
        <v>21</v>
      </c>
      <c r="B3" s="3" t="s">
        <v>22</v>
      </c>
      <c r="C3" s="2" t="s">
        <v>14</v>
      </c>
      <c r="D3" s="4" t="s">
        <v>15</v>
      </c>
      <c r="E3" s="2" t="s">
        <v>16</v>
      </c>
      <c r="F3" s="2" t="s">
        <v>23</v>
      </c>
      <c r="G3" s="2" t="s">
        <v>24</v>
      </c>
      <c r="H3" s="5" t="s">
        <v>19</v>
      </c>
      <c r="I3" s="2"/>
      <c r="J3" s="2"/>
      <c r="K3" s="2"/>
      <c r="L3" s="6" t="s">
        <v>25</v>
      </c>
    </row>
    <row r="4" customFormat="false" ht="23.85" hidden="false" customHeight="false" outlineLevel="0" collapsed="false">
      <c r="A4" s="2" t="s">
        <v>26</v>
      </c>
      <c r="B4" s="3" t="s">
        <v>27</v>
      </c>
      <c r="C4" s="2" t="s">
        <v>14</v>
      </c>
      <c r="D4" s="4" t="s">
        <v>15</v>
      </c>
      <c r="E4" s="2" t="s">
        <v>28</v>
      </c>
      <c r="F4" s="2" t="s">
        <v>17</v>
      </c>
      <c r="G4" s="2" t="s">
        <v>24</v>
      </c>
      <c r="H4" s="5" t="s">
        <v>19</v>
      </c>
      <c r="I4" s="2"/>
      <c r="J4" s="2"/>
      <c r="K4" s="2"/>
      <c r="L4" s="6" t="s">
        <v>29</v>
      </c>
    </row>
    <row r="5" customFormat="false" ht="23.85" hidden="false" customHeight="false" outlineLevel="0" collapsed="false">
      <c r="A5" s="2" t="s">
        <v>30</v>
      </c>
      <c r="B5" s="3" t="s">
        <v>31</v>
      </c>
      <c r="C5" s="2" t="s">
        <v>14</v>
      </c>
      <c r="D5" s="4" t="s">
        <v>15</v>
      </c>
      <c r="E5" s="2" t="s">
        <v>32</v>
      </c>
      <c r="F5" s="2" t="s">
        <v>33</v>
      </c>
      <c r="G5" s="2" t="s">
        <v>18</v>
      </c>
      <c r="H5" s="5" t="s">
        <v>19</v>
      </c>
      <c r="I5" s="2"/>
      <c r="J5" s="2"/>
      <c r="K5" s="2"/>
      <c r="L5" s="6" t="s">
        <v>34</v>
      </c>
    </row>
    <row r="6" customFormat="false" ht="23.85" hidden="false" customHeight="false" outlineLevel="0" collapsed="false">
      <c r="A6" s="2" t="s">
        <v>35</v>
      </c>
      <c r="B6" s="3" t="s">
        <v>36</v>
      </c>
      <c r="C6" s="2" t="s">
        <v>14</v>
      </c>
      <c r="D6" s="4" t="s">
        <v>15</v>
      </c>
      <c r="E6" s="2" t="s">
        <v>37</v>
      </c>
      <c r="F6" s="2" t="s">
        <v>23</v>
      </c>
      <c r="G6" s="2" t="s">
        <v>24</v>
      </c>
      <c r="H6" s="5" t="s">
        <v>19</v>
      </c>
      <c r="I6" s="2"/>
      <c r="J6" s="2"/>
      <c r="K6" s="2"/>
      <c r="L6" s="6" t="s">
        <v>38</v>
      </c>
    </row>
    <row r="7" customFormat="false" ht="15" hidden="false" customHeight="false" outlineLevel="0" collapsed="false">
      <c r="A7" s="2" t="s">
        <v>39</v>
      </c>
      <c r="B7" s="3" t="s">
        <v>40</v>
      </c>
      <c r="C7" s="2" t="s">
        <v>14</v>
      </c>
      <c r="D7" s="7" t="s">
        <v>41</v>
      </c>
      <c r="E7" s="2" t="s">
        <v>42</v>
      </c>
      <c r="F7" s="2" t="s">
        <v>33</v>
      </c>
      <c r="G7" s="2" t="s">
        <v>43</v>
      </c>
      <c r="H7" s="5" t="s">
        <v>19</v>
      </c>
      <c r="I7" s="2"/>
      <c r="J7" s="2"/>
      <c r="K7" s="2"/>
      <c r="L7" s="6" t="s">
        <v>44</v>
      </c>
    </row>
    <row r="8" customFormat="false" ht="15" hidden="false" customHeight="false" outlineLevel="0" collapsed="false">
      <c r="A8" s="2" t="s">
        <v>45</v>
      </c>
      <c r="B8" s="3" t="s">
        <v>46</v>
      </c>
      <c r="C8" s="2" t="s">
        <v>14</v>
      </c>
      <c r="D8" s="7" t="s">
        <v>41</v>
      </c>
      <c r="E8" s="2" t="s">
        <v>47</v>
      </c>
      <c r="F8" s="2" t="s">
        <v>33</v>
      </c>
      <c r="G8" s="2" t="s">
        <v>18</v>
      </c>
      <c r="H8" s="5" t="s">
        <v>19</v>
      </c>
      <c r="I8" s="2"/>
      <c r="J8" s="2"/>
      <c r="K8" s="2"/>
      <c r="L8" s="6" t="s">
        <v>48</v>
      </c>
    </row>
    <row r="9" customFormat="false" ht="15" hidden="false" customHeight="false" outlineLevel="0" collapsed="false">
      <c r="A9" s="2" t="s">
        <v>49</v>
      </c>
      <c r="B9" s="3" t="s">
        <v>50</v>
      </c>
      <c r="C9" s="2" t="s">
        <v>14</v>
      </c>
      <c r="D9" s="7" t="s">
        <v>41</v>
      </c>
      <c r="E9" s="2" t="s">
        <v>51</v>
      </c>
      <c r="F9" s="2" t="s">
        <v>33</v>
      </c>
      <c r="G9" s="2" t="s">
        <v>18</v>
      </c>
      <c r="H9" s="5" t="s">
        <v>19</v>
      </c>
      <c r="I9" s="2"/>
      <c r="J9" s="2"/>
      <c r="K9" s="2"/>
      <c r="L9" s="6" t="s">
        <v>52</v>
      </c>
    </row>
    <row r="10" customFormat="false" ht="15" hidden="false" customHeight="false" outlineLevel="0" collapsed="false">
      <c r="A10" s="2" t="s">
        <v>53</v>
      </c>
      <c r="B10" s="3" t="s">
        <v>54</v>
      </c>
      <c r="C10" s="2" t="s">
        <v>14</v>
      </c>
      <c r="D10" s="7" t="s">
        <v>41</v>
      </c>
      <c r="E10" s="2" t="s">
        <v>55</v>
      </c>
      <c r="F10" s="2" t="s">
        <v>33</v>
      </c>
      <c r="G10" s="2" t="s">
        <v>18</v>
      </c>
      <c r="H10" s="5" t="s">
        <v>19</v>
      </c>
      <c r="I10" s="2"/>
      <c r="J10" s="2"/>
      <c r="K10" s="2"/>
      <c r="L10" s="6" t="s">
        <v>56</v>
      </c>
    </row>
    <row r="11" customFormat="false" ht="15" hidden="false" customHeight="false" outlineLevel="0" collapsed="false">
      <c r="A11" s="2" t="s">
        <v>57</v>
      </c>
      <c r="B11" s="3" t="s">
        <v>58</v>
      </c>
      <c r="C11" s="2" t="s">
        <v>14</v>
      </c>
      <c r="D11" s="7" t="s">
        <v>41</v>
      </c>
      <c r="E11" s="2" t="s">
        <v>59</v>
      </c>
      <c r="F11" s="2" t="s">
        <v>33</v>
      </c>
      <c r="G11" s="2" t="s">
        <v>18</v>
      </c>
      <c r="H11" s="5" t="s">
        <v>19</v>
      </c>
      <c r="I11" s="2"/>
      <c r="J11" s="2"/>
      <c r="K11" s="2"/>
      <c r="L11" s="6" t="s">
        <v>60</v>
      </c>
    </row>
    <row r="12" customFormat="false" ht="23.85" hidden="false" customHeight="false" outlineLevel="0" collapsed="false">
      <c r="A12" s="2" t="s">
        <v>61</v>
      </c>
      <c r="B12" s="3" t="s">
        <v>62</v>
      </c>
      <c r="C12" s="2" t="s">
        <v>14</v>
      </c>
      <c r="D12" s="7" t="s">
        <v>41</v>
      </c>
      <c r="E12" s="2" t="s">
        <v>42</v>
      </c>
      <c r="F12" s="2" t="s">
        <v>33</v>
      </c>
      <c r="G12" s="2" t="s">
        <v>18</v>
      </c>
      <c r="H12" s="5" t="s">
        <v>19</v>
      </c>
      <c r="I12" s="2"/>
      <c r="J12" s="2"/>
      <c r="K12" s="2"/>
      <c r="L12" s="6" t="s">
        <v>63</v>
      </c>
    </row>
    <row r="13" customFormat="false" ht="15" hidden="false" customHeight="false" outlineLevel="0" collapsed="false">
      <c r="A13" s="2" t="s">
        <v>64</v>
      </c>
      <c r="B13" s="3" t="s">
        <v>65</v>
      </c>
      <c r="C13" s="2" t="s">
        <v>14</v>
      </c>
      <c r="D13" s="7" t="s">
        <v>41</v>
      </c>
      <c r="E13" s="2" t="s">
        <v>42</v>
      </c>
      <c r="F13" s="2" t="s">
        <v>17</v>
      </c>
      <c r="G13" s="2" t="s">
        <v>18</v>
      </c>
      <c r="H13" s="5" t="s">
        <v>19</v>
      </c>
      <c r="I13" s="2"/>
      <c r="J13" s="2"/>
      <c r="K13" s="2"/>
      <c r="L13" s="6" t="s">
        <v>66</v>
      </c>
    </row>
    <row r="14" customFormat="false" ht="23.85" hidden="false" customHeight="false" outlineLevel="0" collapsed="false">
      <c r="A14" s="2" t="s">
        <v>67</v>
      </c>
      <c r="B14" s="3" t="s">
        <v>68</v>
      </c>
      <c r="C14" s="2" t="s">
        <v>14</v>
      </c>
      <c r="D14" s="7" t="s">
        <v>41</v>
      </c>
      <c r="E14" s="2" t="s">
        <v>51</v>
      </c>
      <c r="F14" s="2" t="s">
        <v>33</v>
      </c>
      <c r="G14" s="2" t="s">
        <v>18</v>
      </c>
      <c r="H14" s="5" t="s">
        <v>19</v>
      </c>
      <c r="I14" s="2"/>
      <c r="J14" s="2"/>
      <c r="K14" s="2"/>
      <c r="L14" s="6" t="s">
        <v>69</v>
      </c>
    </row>
    <row r="15" customFormat="false" ht="23.85" hidden="false" customHeight="false" outlineLevel="0" collapsed="false">
      <c r="A15" s="2" t="s">
        <v>70</v>
      </c>
      <c r="B15" s="3" t="s">
        <v>71</v>
      </c>
      <c r="C15" s="2" t="s">
        <v>14</v>
      </c>
      <c r="D15" s="7" t="s">
        <v>41</v>
      </c>
      <c r="E15" s="2" t="s">
        <v>32</v>
      </c>
      <c r="F15" s="2" t="s">
        <v>23</v>
      </c>
      <c r="G15" s="2" t="s">
        <v>18</v>
      </c>
      <c r="H15" s="5" t="s">
        <v>19</v>
      </c>
      <c r="I15" s="2"/>
      <c r="J15" s="2"/>
      <c r="K15" s="2"/>
      <c r="L15" s="6" t="s">
        <v>72</v>
      </c>
    </row>
    <row r="16" customFormat="false" ht="15" hidden="false" customHeight="false" outlineLevel="0" collapsed="false">
      <c r="A16" s="2" t="s">
        <v>73</v>
      </c>
      <c r="B16" s="3" t="s">
        <v>74</v>
      </c>
      <c r="C16" s="2" t="s">
        <v>14</v>
      </c>
      <c r="D16" s="7" t="s">
        <v>41</v>
      </c>
      <c r="E16" s="2" t="s">
        <v>37</v>
      </c>
      <c r="F16" s="2" t="s">
        <v>17</v>
      </c>
      <c r="G16" s="2" t="s">
        <v>18</v>
      </c>
      <c r="H16" s="5" t="s">
        <v>19</v>
      </c>
      <c r="I16" s="2"/>
      <c r="J16" s="2"/>
      <c r="K16" s="2"/>
      <c r="L16" s="6" t="s">
        <v>75</v>
      </c>
    </row>
    <row r="17" customFormat="false" ht="23.85" hidden="false" customHeight="false" outlineLevel="0" collapsed="false">
      <c r="A17" s="2" t="s">
        <v>76</v>
      </c>
      <c r="B17" s="3" t="s">
        <v>77</v>
      </c>
      <c r="C17" s="2" t="s">
        <v>78</v>
      </c>
      <c r="D17" s="4" t="s">
        <v>15</v>
      </c>
      <c r="E17" s="2" t="s">
        <v>79</v>
      </c>
      <c r="F17" s="2" t="s">
        <v>23</v>
      </c>
      <c r="G17" s="2" t="s">
        <v>80</v>
      </c>
      <c r="H17" s="5" t="s">
        <v>19</v>
      </c>
      <c r="I17" s="2"/>
      <c r="J17" s="2"/>
      <c r="K17" s="2"/>
      <c r="L17" s="6" t="s">
        <v>81</v>
      </c>
    </row>
    <row r="18" customFormat="false" ht="23.85" hidden="false" customHeight="false" outlineLevel="0" collapsed="false">
      <c r="A18" s="2" t="s">
        <v>82</v>
      </c>
      <c r="B18" s="3" t="s">
        <v>83</v>
      </c>
      <c r="C18" s="2" t="s">
        <v>78</v>
      </c>
      <c r="D18" s="4" t="s">
        <v>15</v>
      </c>
      <c r="E18" s="2" t="s">
        <v>84</v>
      </c>
      <c r="F18" s="2" t="s">
        <v>33</v>
      </c>
      <c r="G18" s="2" t="s">
        <v>18</v>
      </c>
      <c r="H18" s="5" t="s">
        <v>19</v>
      </c>
      <c r="I18" s="2"/>
      <c r="J18" s="2"/>
      <c r="K18" s="2"/>
      <c r="L18" s="6" t="s">
        <v>85</v>
      </c>
    </row>
    <row r="19" customFormat="false" ht="23.85" hidden="false" customHeight="false" outlineLevel="0" collapsed="false">
      <c r="A19" s="2" t="s">
        <v>86</v>
      </c>
      <c r="B19" s="3" t="s">
        <v>87</v>
      </c>
      <c r="C19" s="2" t="s">
        <v>78</v>
      </c>
      <c r="D19" s="4" t="s">
        <v>15</v>
      </c>
      <c r="E19" s="2" t="s">
        <v>88</v>
      </c>
      <c r="F19" s="2" t="s">
        <v>33</v>
      </c>
      <c r="G19" s="2" t="s">
        <v>89</v>
      </c>
      <c r="H19" s="5" t="s">
        <v>19</v>
      </c>
      <c r="I19" s="2"/>
      <c r="J19" s="2"/>
      <c r="K19" s="2"/>
      <c r="L19" s="6" t="s">
        <v>90</v>
      </c>
    </row>
    <row r="20" customFormat="false" ht="15" hidden="false" customHeight="false" outlineLevel="0" collapsed="false">
      <c r="A20" s="2" t="s">
        <v>91</v>
      </c>
      <c r="B20" s="3" t="s">
        <v>92</v>
      </c>
      <c r="C20" s="2" t="s">
        <v>78</v>
      </c>
      <c r="D20" s="7" t="s">
        <v>41</v>
      </c>
      <c r="E20" s="2" t="s">
        <v>93</v>
      </c>
      <c r="F20" s="2" t="s">
        <v>33</v>
      </c>
      <c r="G20" s="2" t="s">
        <v>18</v>
      </c>
      <c r="H20" s="5" t="s">
        <v>19</v>
      </c>
      <c r="I20" s="2"/>
      <c r="J20" s="2"/>
      <c r="K20" s="2"/>
      <c r="L20" s="6" t="s">
        <v>94</v>
      </c>
    </row>
    <row r="21" customFormat="false" ht="15" hidden="false" customHeight="false" outlineLevel="0" collapsed="false">
      <c r="A21" s="2" t="s">
        <v>95</v>
      </c>
      <c r="B21" s="3" t="s">
        <v>96</v>
      </c>
      <c r="C21" s="2" t="s">
        <v>78</v>
      </c>
      <c r="D21" s="7" t="s">
        <v>41</v>
      </c>
      <c r="E21" s="2" t="s">
        <v>59</v>
      </c>
      <c r="F21" s="2" t="s">
        <v>33</v>
      </c>
      <c r="G21" s="2" t="s">
        <v>18</v>
      </c>
      <c r="H21" s="5" t="s">
        <v>19</v>
      </c>
      <c r="I21" s="2"/>
      <c r="J21" s="2"/>
      <c r="K21" s="2"/>
      <c r="L21" s="6" t="s">
        <v>97</v>
      </c>
    </row>
    <row r="22" customFormat="false" ht="23.85" hidden="false" customHeight="false" outlineLevel="0" collapsed="false">
      <c r="A22" s="2" t="s">
        <v>98</v>
      </c>
      <c r="B22" s="3" t="s">
        <v>99</v>
      </c>
      <c r="C22" s="2" t="s">
        <v>78</v>
      </c>
      <c r="D22" s="7" t="s">
        <v>41</v>
      </c>
      <c r="E22" s="2" t="s">
        <v>51</v>
      </c>
      <c r="F22" s="2" t="s">
        <v>33</v>
      </c>
      <c r="G22" s="2" t="s">
        <v>80</v>
      </c>
      <c r="H22" s="5" t="s">
        <v>19</v>
      </c>
      <c r="I22" s="2"/>
      <c r="J22" s="2"/>
      <c r="K22" s="2"/>
      <c r="L22" s="6" t="s">
        <v>100</v>
      </c>
    </row>
    <row r="23" customFormat="false" ht="15" hidden="false" customHeight="false" outlineLevel="0" collapsed="false">
      <c r="A23" s="2" t="s">
        <v>101</v>
      </c>
      <c r="B23" s="3" t="s">
        <v>102</v>
      </c>
      <c r="C23" s="2" t="s">
        <v>78</v>
      </c>
      <c r="D23" s="7" t="s">
        <v>41</v>
      </c>
      <c r="E23" s="2" t="s">
        <v>93</v>
      </c>
      <c r="F23" s="2" t="s">
        <v>33</v>
      </c>
      <c r="G23" s="2" t="s">
        <v>103</v>
      </c>
      <c r="H23" s="5" t="s">
        <v>19</v>
      </c>
      <c r="I23" s="2"/>
      <c r="J23" s="2"/>
      <c r="K23" s="2"/>
      <c r="L23" s="6" t="s">
        <v>104</v>
      </c>
    </row>
    <row r="24" customFormat="false" ht="15" hidden="false" customHeight="false" outlineLevel="0" collapsed="false">
      <c r="A24" s="2" t="s">
        <v>105</v>
      </c>
      <c r="B24" s="3" t="s">
        <v>106</v>
      </c>
      <c r="C24" s="2" t="s">
        <v>78</v>
      </c>
      <c r="D24" s="7" t="s">
        <v>41</v>
      </c>
      <c r="E24" s="2" t="s">
        <v>55</v>
      </c>
      <c r="F24" s="2" t="s">
        <v>33</v>
      </c>
      <c r="G24" s="2" t="s">
        <v>18</v>
      </c>
      <c r="H24" s="5" t="s">
        <v>19</v>
      </c>
      <c r="I24" s="2"/>
      <c r="J24" s="2"/>
      <c r="K24" s="2"/>
      <c r="L24" s="6" t="s">
        <v>107</v>
      </c>
    </row>
    <row r="25" customFormat="false" ht="15" hidden="false" customHeight="false" outlineLevel="0" collapsed="false">
      <c r="A25" s="2" t="s">
        <v>108</v>
      </c>
      <c r="B25" s="3" t="s">
        <v>109</v>
      </c>
      <c r="C25" s="2" t="s">
        <v>78</v>
      </c>
      <c r="D25" s="7" t="s">
        <v>41</v>
      </c>
      <c r="E25" s="2" t="s">
        <v>51</v>
      </c>
      <c r="F25" s="2" t="s">
        <v>33</v>
      </c>
      <c r="G25" s="2" t="s">
        <v>18</v>
      </c>
      <c r="H25" s="5" t="s">
        <v>19</v>
      </c>
      <c r="I25" s="2"/>
      <c r="J25" s="2"/>
      <c r="K25" s="2"/>
      <c r="L25" s="6" t="s">
        <v>110</v>
      </c>
    </row>
    <row r="26" customFormat="false" ht="15" hidden="false" customHeight="false" outlineLevel="0" collapsed="false">
      <c r="A26" s="2" t="s">
        <v>111</v>
      </c>
      <c r="B26" s="3" t="s">
        <v>112</v>
      </c>
      <c r="C26" s="2" t="s">
        <v>78</v>
      </c>
      <c r="D26" s="7" t="s">
        <v>41</v>
      </c>
      <c r="E26" s="2" t="s">
        <v>84</v>
      </c>
      <c r="F26" s="2" t="s">
        <v>33</v>
      </c>
      <c r="G26" s="2" t="s">
        <v>18</v>
      </c>
      <c r="H26" s="5" t="s">
        <v>19</v>
      </c>
      <c r="I26" s="2"/>
      <c r="J26" s="2"/>
      <c r="K26" s="2"/>
      <c r="L26" s="6" t="s">
        <v>113</v>
      </c>
    </row>
    <row r="27" customFormat="false" ht="15" hidden="false" customHeight="false" outlineLevel="0" collapsed="false">
      <c r="A27" s="2" t="s">
        <v>114</v>
      </c>
      <c r="B27" s="3" t="s">
        <v>115</v>
      </c>
      <c r="C27" s="2" t="s">
        <v>78</v>
      </c>
      <c r="D27" s="7" t="s">
        <v>41</v>
      </c>
      <c r="E27" s="2" t="s">
        <v>51</v>
      </c>
      <c r="F27" s="2" t="s">
        <v>33</v>
      </c>
      <c r="G27" s="2" t="s">
        <v>18</v>
      </c>
      <c r="H27" s="5" t="s">
        <v>19</v>
      </c>
      <c r="I27" s="2"/>
      <c r="J27" s="2"/>
      <c r="K27" s="2"/>
      <c r="L27" s="6" t="s">
        <v>116</v>
      </c>
    </row>
    <row r="28" customFormat="false" ht="15" hidden="false" customHeight="false" outlineLevel="0" collapsed="false">
      <c r="A28" s="2" t="s">
        <v>117</v>
      </c>
      <c r="B28" s="3" t="s">
        <v>118</v>
      </c>
      <c r="C28" s="2" t="s">
        <v>78</v>
      </c>
      <c r="D28" s="7" t="s">
        <v>41</v>
      </c>
      <c r="E28" s="2" t="s">
        <v>119</v>
      </c>
      <c r="F28" s="2" t="s">
        <v>33</v>
      </c>
      <c r="G28" s="2" t="s">
        <v>18</v>
      </c>
      <c r="H28" s="5" t="s">
        <v>19</v>
      </c>
      <c r="I28" s="2"/>
      <c r="J28" s="2"/>
      <c r="K28" s="2"/>
      <c r="L28" s="6" t="s">
        <v>120</v>
      </c>
    </row>
    <row r="29" customFormat="false" ht="15" hidden="false" customHeight="false" outlineLevel="0" collapsed="false">
      <c r="A29" s="2" t="s">
        <v>121</v>
      </c>
      <c r="B29" s="3" t="s">
        <v>122</v>
      </c>
      <c r="C29" s="2" t="s">
        <v>78</v>
      </c>
      <c r="D29" s="7" t="s">
        <v>41</v>
      </c>
      <c r="E29" s="2" t="s">
        <v>123</v>
      </c>
      <c r="F29" s="2" t="s">
        <v>33</v>
      </c>
      <c r="G29" s="2" t="s">
        <v>18</v>
      </c>
      <c r="H29" s="5" t="s">
        <v>19</v>
      </c>
      <c r="I29" s="2"/>
      <c r="J29" s="2"/>
      <c r="K29" s="2"/>
      <c r="L29" s="6" t="s">
        <v>124</v>
      </c>
    </row>
    <row r="30" customFormat="false" ht="15" hidden="false" customHeight="false" outlineLevel="0" collapsed="false">
      <c r="A30" s="2" t="s">
        <v>125</v>
      </c>
      <c r="B30" s="3" t="s">
        <v>126</v>
      </c>
      <c r="C30" s="2" t="s">
        <v>78</v>
      </c>
      <c r="D30" s="7" t="s">
        <v>41</v>
      </c>
      <c r="E30" s="2" t="s">
        <v>55</v>
      </c>
      <c r="F30" s="2" t="s">
        <v>33</v>
      </c>
      <c r="G30" s="2" t="s">
        <v>18</v>
      </c>
      <c r="H30" s="5" t="s">
        <v>19</v>
      </c>
      <c r="I30" s="2"/>
      <c r="J30" s="2"/>
      <c r="K30" s="2"/>
      <c r="L30" s="6" t="s">
        <v>127</v>
      </c>
    </row>
    <row r="31" customFormat="false" ht="15" hidden="false" customHeight="false" outlineLevel="0" collapsed="false">
      <c r="A31" s="2" t="s">
        <v>128</v>
      </c>
      <c r="B31" s="3" t="s">
        <v>129</v>
      </c>
      <c r="C31" s="2" t="s">
        <v>78</v>
      </c>
      <c r="D31" s="7" t="s">
        <v>41</v>
      </c>
      <c r="E31" s="2" t="s">
        <v>130</v>
      </c>
      <c r="F31" s="2" t="s">
        <v>33</v>
      </c>
      <c r="G31" s="2" t="s">
        <v>18</v>
      </c>
      <c r="H31" s="5" t="s">
        <v>19</v>
      </c>
      <c r="I31" s="2"/>
      <c r="J31" s="2"/>
      <c r="K31" s="2"/>
      <c r="L31" s="6" t="s">
        <v>131</v>
      </c>
    </row>
    <row r="32" customFormat="false" ht="15" hidden="false" customHeight="false" outlineLevel="0" collapsed="false">
      <c r="A32" s="2" t="s">
        <v>132</v>
      </c>
      <c r="B32" s="3" t="s">
        <v>133</v>
      </c>
      <c r="C32" s="2" t="s">
        <v>78</v>
      </c>
      <c r="D32" s="8" t="s">
        <v>134</v>
      </c>
      <c r="E32" s="2" t="s">
        <v>135</v>
      </c>
      <c r="F32" s="2" t="s">
        <v>33</v>
      </c>
      <c r="G32" s="2" t="s">
        <v>18</v>
      </c>
      <c r="H32" s="5" t="s">
        <v>19</v>
      </c>
      <c r="I32" s="2"/>
      <c r="J32" s="2"/>
      <c r="K32" s="2"/>
      <c r="L32" s="6"/>
    </row>
    <row r="33" customFormat="false" ht="15" hidden="false" customHeight="false" outlineLevel="0" collapsed="false">
      <c r="A33" s="2" t="s">
        <v>136</v>
      </c>
      <c r="B33" s="3" t="s">
        <v>137</v>
      </c>
      <c r="C33" s="2" t="s">
        <v>78</v>
      </c>
      <c r="D33" s="8" t="s">
        <v>134</v>
      </c>
      <c r="E33" s="2" t="s">
        <v>135</v>
      </c>
      <c r="F33" s="2" t="s">
        <v>33</v>
      </c>
      <c r="G33" s="2" t="s">
        <v>18</v>
      </c>
      <c r="H33" s="5" t="s">
        <v>19</v>
      </c>
      <c r="I33" s="2"/>
      <c r="J33" s="2"/>
      <c r="K33" s="2"/>
      <c r="L33" s="6" t="s">
        <v>138</v>
      </c>
    </row>
    <row r="34" customFormat="false" ht="15" hidden="false" customHeight="false" outlineLevel="0" collapsed="false">
      <c r="A34" s="2" t="s">
        <v>139</v>
      </c>
      <c r="B34" s="3" t="s">
        <v>140</v>
      </c>
      <c r="C34" s="2" t="s">
        <v>78</v>
      </c>
      <c r="D34" s="8" t="s">
        <v>134</v>
      </c>
      <c r="E34" s="2" t="s">
        <v>135</v>
      </c>
      <c r="F34" s="2" t="s">
        <v>33</v>
      </c>
      <c r="G34" s="2" t="s">
        <v>18</v>
      </c>
      <c r="H34" s="5" t="s">
        <v>19</v>
      </c>
      <c r="I34" s="2"/>
      <c r="J34" s="2"/>
      <c r="K34" s="2"/>
      <c r="L34" s="6" t="s">
        <v>141</v>
      </c>
    </row>
    <row r="35" customFormat="false" ht="15" hidden="false" customHeight="false" outlineLevel="0" collapsed="false">
      <c r="A35" s="2" t="s">
        <v>142</v>
      </c>
      <c r="B35" s="3" t="s">
        <v>143</v>
      </c>
      <c r="C35" s="2" t="s">
        <v>78</v>
      </c>
      <c r="D35" s="8" t="s">
        <v>134</v>
      </c>
      <c r="E35" s="2" t="s">
        <v>135</v>
      </c>
      <c r="F35" s="2" t="s">
        <v>33</v>
      </c>
      <c r="G35" s="2" t="s">
        <v>18</v>
      </c>
      <c r="H35" s="5" t="s">
        <v>19</v>
      </c>
      <c r="I35" s="2"/>
      <c r="J35" s="2"/>
      <c r="K35" s="2"/>
      <c r="L35" s="6" t="s">
        <v>144</v>
      </c>
    </row>
    <row r="36" customFormat="false" ht="15" hidden="false" customHeight="false" outlineLevel="0" collapsed="false">
      <c r="A36" s="2" t="s">
        <v>145</v>
      </c>
      <c r="B36" s="3" t="s">
        <v>146</v>
      </c>
      <c r="C36" s="2" t="s">
        <v>78</v>
      </c>
      <c r="D36" s="8" t="s">
        <v>134</v>
      </c>
      <c r="E36" s="2" t="s">
        <v>135</v>
      </c>
      <c r="F36" s="2" t="s">
        <v>33</v>
      </c>
      <c r="G36" s="2" t="s">
        <v>18</v>
      </c>
      <c r="H36" s="5" t="s">
        <v>19</v>
      </c>
      <c r="I36" s="2"/>
      <c r="J36" s="2"/>
      <c r="K36" s="2"/>
      <c r="L36" s="6" t="s">
        <v>147</v>
      </c>
    </row>
    <row r="37" customFormat="false" ht="15" hidden="false" customHeight="false" outlineLevel="0" collapsed="false">
      <c r="A37" s="2" t="s">
        <v>148</v>
      </c>
      <c r="B37" s="3" t="s">
        <v>149</v>
      </c>
      <c r="C37" s="2" t="s">
        <v>78</v>
      </c>
      <c r="D37" s="8" t="s">
        <v>134</v>
      </c>
      <c r="E37" s="2" t="s">
        <v>135</v>
      </c>
      <c r="F37" s="2" t="s">
        <v>33</v>
      </c>
      <c r="G37" s="2" t="s">
        <v>18</v>
      </c>
      <c r="H37" s="5" t="s">
        <v>19</v>
      </c>
      <c r="I37" s="2"/>
      <c r="J37" s="2"/>
      <c r="K37" s="2"/>
      <c r="L37" s="6" t="s">
        <v>150</v>
      </c>
    </row>
    <row r="38" customFormat="false" ht="23.85" hidden="false" customHeight="false" outlineLevel="0" collapsed="false">
      <c r="A38" s="2" t="s">
        <v>151</v>
      </c>
      <c r="B38" s="3" t="s">
        <v>152</v>
      </c>
      <c r="C38" s="2" t="s">
        <v>78</v>
      </c>
      <c r="D38" s="8" t="s">
        <v>134</v>
      </c>
      <c r="E38" s="2" t="s">
        <v>135</v>
      </c>
      <c r="F38" s="2" t="s">
        <v>33</v>
      </c>
      <c r="G38" s="2" t="s">
        <v>18</v>
      </c>
      <c r="H38" s="5" t="s">
        <v>19</v>
      </c>
      <c r="I38" s="2"/>
      <c r="J38" s="2"/>
      <c r="K38" s="2"/>
      <c r="L38" s="6" t="s">
        <v>153</v>
      </c>
    </row>
    <row r="39" customFormat="false" ht="15" hidden="false" customHeight="false" outlineLevel="0" collapsed="false">
      <c r="A39" s="2" t="s">
        <v>154</v>
      </c>
      <c r="B39" s="3" t="s">
        <v>155</v>
      </c>
      <c r="C39" s="2" t="s">
        <v>78</v>
      </c>
      <c r="D39" s="8" t="s">
        <v>134</v>
      </c>
      <c r="E39" s="2" t="s">
        <v>135</v>
      </c>
      <c r="F39" s="2" t="s">
        <v>33</v>
      </c>
      <c r="G39" s="2" t="s">
        <v>18</v>
      </c>
      <c r="H39" s="5" t="s">
        <v>19</v>
      </c>
      <c r="I39" s="2"/>
      <c r="J39" s="2"/>
      <c r="K39" s="2"/>
      <c r="L39" s="6" t="s">
        <v>156</v>
      </c>
    </row>
    <row r="40" customFormat="false" ht="23.85" hidden="false" customHeight="false" outlineLevel="0" collapsed="false">
      <c r="A40" s="2" t="s">
        <v>157</v>
      </c>
      <c r="B40" s="3" t="s">
        <v>158</v>
      </c>
      <c r="C40" s="2" t="s">
        <v>159</v>
      </c>
      <c r="D40" s="8" t="s">
        <v>134</v>
      </c>
      <c r="E40" s="2" t="s">
        <v>160</v>
      </c>
      <c r="F40" s="2" t="s">
        <v>33</v>
      </c>
      <c r="G40" s="2" t="s">
        <v>18</v>
      </c>
      <c r="H40" s="5" t="s">
        <v>19</v>
      </c>
      <c r="I40" s="2"/>
      <c r="J40" s="2"/>
      <c r="K40" s="2"/>
      <c r="L40" s="6" t="s">
        <v>161</v>
      </c>
    </row>
    <row r="41" customFormat="false" ht="23.85" hidden="false" customHeight="false" outlineLevel="0" collapsed="false">
      <c r="A41" s="2" t="s">
        <v>162</v>
      </c>
      <c r="B41" s="3" t="s">
        <v>163</v>
      </c>
      <c r="C41" s="2" t="s">
        <v>14</v>
      </c>
      <c r="D41" s="7" t="s">
        <v>41</v>
      </c>
      <c r="E41" s="2" t="s">
        <v>32</v>
      </c>
      <c r="F41" s="2" t="s">
        <v>17</v>
      </c>
      <c r="G41" s="2" t="s">
        <v>18</v>
      </c>
      <c r="H41" s="5" t="s">
        <v>19</v>
      </c>
      <c r="I41" s="2"/>
      <c r="J41" s="2"/>
      <c r="K41" s="2"/>
      <c r="L41" s="6" t="s">
        <v>164</v>
      </c>
    </row>
    <row r="42" customFormat="false" ht="23.85" hidden="false" customHeight="false" outlineLevel="0" collapsed="false">
      <c r="A42" s="2" t="s">
        <v>165</v>
      </c>
      <c r="B42" s="3" t="s">
        <v>166</v>
      </c>
      <c r="C42" s="2" t="s">
        <v>14</v>
      </c>
      <c r="D42" s="4" t="s">
        <v>15</v>
      </c>
      <c r="E42" s="2" t="s">
        <v>37</v>
      </c>
      <c r="F42" s="2" t="s">
        <v>17</v>
      </c>
      <c r="G42" s="2" t="s">
        <v>18</v>
      </c>
      <c r="H42" s="5" t="s">
        <v>19</v>
      </c>
      <c r="I42" s="2"/>
      <c r="J42" s="2"/>
      <c r="K42" s="2"/>
      <c r="L42" s="6" t="s">
        <v>167</v>
      </c>
    </row>
    <row r="43" customFormat="false" ht="15" hidden="false" customHeight="false" outlineLevel="0" collapsed="false">
      <c r="A43" s="2" t="s">
        <v>168</v>
      </c>
      <c r="B43" s="3" t="s">
        <v>169</v>
      </c>
      <c r="C43" s="2" t="s">
        <v>170</v>
      </c>
      <c r="D43" s="7" t="s">
        <v>41</v>
      </c>
      <c r="E43" s="2" t="s">
        <v>37</v>
      </c>
      <c r="F43" s="2" t="s">
        <v>17</v>
      </c>
      <c r="G43" s="2" t="s">
        <v>18</v>
      </c>
      <c r="H43" s="5" t="s">
        <v>19</v>
      </c>
      <c r="I43" s="2"/>
      <c r="J43" s="2"/>
      <c r="K43" s="2"/>
      <c r="L43" s="6" t="s">
        <v>171</v>
      </c>
    </row>
    <row r="44" customFormat="false" ht="15" hidden="false" customHeight="false" outlineLevel="0" collapsed="false">
      <c r="A44" s="2" t="s">
        <v>172</v>
      </c>
      <c r="B44" s="3" t="s">
        <v>173</v>
      </c>
      <c r="C44" s="2" t="s">
        <v>170</v>
      </c>
      <c r="D44" s="8" t="s">
        <v>134</v>
      </c>
      <c r="E44" s="2" t="s">
        <v>37</v>
      </c>
      <c r="F44" s="2" t="s">
        <v>17</v>
      </c>
      <c r="G44" s="2" t="s">
        <v>18</v>
      </c>
      <c r="H44" s="5" t="s">
        <v>19</v>
      </c>
      <c r="I44" s="2"/>
      <c r="J44" s="2"/>
      <c r="K44" s="2"/>
      <c r="L44" s="6" t="s">
        <v>174</v>
      </c>
    </row>
    <row r="45" customFormat="false" ht="15" hidden="false" customHeight="false" outlineLevel="0" collapsed="false">
      <c r="A45" s="2" t="s">
        <v>175</v>
      </c>
      <c r="B45" s="3" t="s">
        <v>176</v>
      </c>
      <c r="C45" s="2" t="s">
        <v>170</v>
      </c>
      <c r="D45" s="8" t="s">
        <v>134</v>
      </c>
      <c r="E45" s="2" t="s">
        <v>37</v>
      </c>
      <c r="F45" s="2" t="s">
        <v>17</v>
      </c>
      <c r="G45" s="2" t="s">
        <v>18</v>
      </c>
      <c r="H45" s="5" t="s">
        <v>19</v>
      </c>
      <c r="I45" s="2"/>
      <c r="J45" s="2"/>
      <c r="K45" s="2"/>
      <c r="L45" s="6" t="s">
        <v>177</v>
      </c>
    </row>
  </sheetData>
  <autoFilter ref="A1:L1"/>
  <hyperlinks>
    <hyperlink ref="B2" r:id="rId1" display="https://producthunt.com"/>
    <hyperlink ref="B3" r:id="rId2" display="https://g2.com"/>
    <hyperlink ref="B4" r:id="rId3" display="https://crunchbase.com"/>
    <hyperlink ref="B5" r:id="rId4" display="https://alternativeto.net"/>
    <hyperlink ref="B6" r:id="rId5" display="https://capterra.com"/>
    <hyperlink ref="B7" r:id="rId6" display="https://betalist.com"/>
    <hyperlink ref="B8" r:id="rId7" display="https://saashub.com"/>
    <hyperlink ref="B9" r:id="rId8" display="https://fazier.com"/>
    <hyperlink ref="B10" r:id="rId9" display="https://peerpush.com"/>
    <hyperlink ref="B11" r:id="rId10" display="https://uneed.best"/>
    <hyperlink ref="B12" r:id="rId11" display="https://f6s.com"/>
    <hyperlink ref="B13" r:id="rId12" display="https://indiehackers.com"/>
    <hyperlink ref="B14" r:id="rId13" display="https://startupbase.io"/>
    <hyperlink ref="B15" r:id="rId14" display="https://getapp.com"/>
    <hyperlink ref="B16" r:id="rId15" display="https://trustpilot.com"/>
    <hyperlink ref="B17" r:id="rId16" display="https://theresanaiforthat.com"/>
    <hyperlink ref="B18" r:id="rId17" display="https://futurepedia.io"/>
    <hyperlink ref="B19" r:id="rId18" display="https://dang.ai"/>
    <hyperlink ref="B20" r:id="rId19" display="https://aitoolsdirectory.com"/>
    <hyperlink ref="B21" r:id="rId20" display="https://theaisurf.com"/>
    <hyperlink ref="B22" r:id="rId21" display="https://nxgntools.com"/>
    <hyperlink ref="B23" r:id="rId22" display="https://toolify.ai"/>
    <hyperlink ref="B24" r:id="rId23" display="https://aiscout.net"/>
    <hyperlink ref="B25" r:id="rId24" display="https://listmyai.net"/>
    <hyperlink ref="B26" r:id="rId25" display="https://futuretools.io"/>
    <hyperlink ref="B27" r:id="rId26" display="https://toptools.ai"/>
    <hyperlink ref="B28" r:id="rId27" display="https://rankyourai.com"/>
    <hyperlink ref="B29" r:id="rId28" display="https://aiwith.me"/>
    <hyperlink ref="B30" r:id="rId29" display="https://launchboosts.com"/>
    <hyperlink ref="B31" r:id="rId30" display="https://goodaitools.com"/>
    <hyperlink ref="B32" r:id="rId31" display="https://basedtools.ai"/>
    <hyperlink ref="B33" r:id="rId32" display="https://bestofweb.com"/>
    <hyperlink ref="B34" r:id="rId33" display="https://dofollow.tools"/>
    <hyperlink ref="B35" r:id="rId34" display="https://spiff.store"/>
    <hyperlink ref="B36" r:id="rId35" display="https://eliteaitools.com"/>
    <hyperlink ref="B37" r:id="rId36" display="https://fastlaunch.ai"/>
    <hyperlink ref="B38" r:id="rId37" display="https://auraplus.co"/>
    <hyperlink ref="B39" r:id="rId38" display="https://buildvoyage.com"/>
    <hyperlink ref="B40" r:id="rId39" display="http://directoryhealthy.com/submitsite/"/>
    <hyperlink ref="B41" r:id="rId40" display="https://wellfound.com"/>
    <hyperlink ref="B42" r:id="rId41" display="https://news.ycombinator.com"/>
    <hyperlink ref="B43" r:id="rId42" display="https://reddit.com/r/artificial"/>
    <hyperlink ref="B44" r:id="rId43" display="https://reddit.com/r/nutrition"/>
    <hyperlink ref="B45" r:id="rId44" display="https://reddit.com/r/Sa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9" t="s">
        <v>178</v>
      </c>
      <c r="B1" s="9"/>
      <c r="C1" s="9"/>
      <c r="D1" s="9"/>
    </row>
    <row r="3" customFormat="false" ht="15" hidden="false" customHeight="false" outlineLevel="0" collapsed="false">
      <c r="A3" s="10"/>
      <c r="B3" s="11"/>
    </row>
    <row r="4" customFormat="false" ht="15" hidden="false" customHeight="false" outlineLevel="0" collapsed="false">
      <c r="A4" s="10" t="s">
        <v>179</v>
      </c>
      <c r="B4" s="11" t="n">
        <f aca="false">COUNTA('Directory Tracker'!A2:A200)</f>
        <v>44</v>
      </c>
    </row>
    <row r="5" customFormat="false" ht="15" hidden="false" customHeight="false" outlineLevel="0" collapsed="false">
      <c r="A5" s="10" t="s">
        <v>180</v>
      </c>
      <c r="B5" s="11" t="n">
        <f aca="false">COUNTIF('Directory Tracker'!D2:D200,"Tier 1")</f>
        <v>9</v>
      </c>
    </row>
    <row r="6" customFormat="false" ht="15" hidden="false" customHeight="false" outlineLevel="0" collapsed="false">
      <c r="A6" s="10" t="s">
        <v>181</v>
      </c>
      <c r="B6" s="11" t="n">
        <f aca="false">COUNTIF('Directory Tracker'!D2:D200,"Tier 2")</f>
        <v>24</v>
      </c>
    </row>
    <row r="7" customFormat="false" ht="15" hidden="false" customHeight="false" outlineLevel="0" collapsed="false">
      <c r="A7" s="10" t="s">
        <v>182</v>
      </c>
      <c r="B7" s="11" t="n">
        <f aca="false">COUNTIF('Directory Tracker'!D2:D200,"Tier 3")</f>
        <v>11</v>
      </c>
    </row>
    <row r="8" customFormat="false" ht="15" hidden="false" customHeight="false" outlineLevel="0" collapsed="false">
      <c r="A8" s="10"/>
      <c r="B8" s="11"/>
    </row>
    <row r="9" customFormat="false" ht="15" hidden="false" customHeight="false" outlineLevel="0" collapsed="false">
      <c r="A9" s="10" t="s">
        <v>183</v>
      </c>
      <c r="B9" s="11" t="n">
        <f aca="false">COUNTIF('Directory Tracker'!H2:H200,"Submitted")</f>
        <v>0</v>
      </c>
    </row>
    <row r="10" customFormat="false" ht="15" hidden="false" customHeight="false" outlineLevel="0" collapsed="false">
      <c r="A10" s="10" t="s">
        <v>184</v>
      </c>
      <c r="B10" s="11" t="n">
        <f aca="false">COUNTIF('Directory Tracker'!H2:H200,"Listed")</f>
        <v>0</v>
      </c>
    </row>
    <row r="11" customFormat="false" ht="15" hidden="false" customHeight="false" outlineLevel="0" collapsed="false">
      <c r="A11" s="10" t="s">
        <v>19</v>
      </c>
      <c r="B11" s="11" t="n">
        <f aca="false">COUNTIF('Directory Tracker'!H2:H200,"Not Started")</f>
        <v>44</v>
      </c>
    </row>
    <row r="12" customFormat="false" ht="15" hidden="false" customHeight="false" outlineLevel="0" collapsed="false">
      <c r="A12" s="10"/>
      <c r="B12" s="11"/>
    </row>
    <row r="13" customFormat="false" ht="15" hidden="false" customHeight="false" outlineLevel="0" collapsed="false">
      <c r="A13" s="10" t="s">
        <v>185</v>
      </c>
      <c r="B13" s="11"/>
    </row>
    <row r="14" customFormat="false" ht="15" hidden="false" customHeight="false" outlineLevel="0" collapsed="false">
      <c r="A14" s="10" t="s">
        <v>186</v>
      </c>
      <c r="B14" s="11" t="s">
        <v>187</v>
      </c>
    </row>
    <row r="15" customFormat="false" ht="15" hidden="false" customHeight="false" outlineLevel="0" collapsed="false">
      <c r="A15" s="10" t="s">
        <v>188</v>
      </c>
      <c r="B15" s="11" t="s">
        <v>189</v>
      </c>
    </row>
    <row r="16" customFormat="false" ht="15" hidden="false" customHeight="false" outlineLevel="0" collapsed="false">
      <c r="A16" s="10" t="s">
        <v>190</v>
      </c>
      <c r="B16" s="11" t="s">
        <v>191</v>
      </c>
    </row>
    <row r="17" customFormat="false" ht="15" hidden="false" customHeight="false" outlineLevel="0" collapsed="false">
      <c r="A17" s="10" t="s">
        <v>192</v>
      </c>
      <c r="B17" s="11" t="s">
        <v>193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9" t="s">
        <v>194</v>
      </c>
      <c r="B1" s="9"/>
    </row>
    <row r="3" customFormat="false" ht="15" hidden="false" customHeight="false" outlineLevel="0" collapsed="false">
      <c r="A3" s="10"/>
      <c r="B3" s="11"/>
    </row>
    <row r="4" customFormat="false" ht="15" hidden="false" customHeight="false" outlineLevel="0" collapsed="false">
      <c r="A4" s="12" t="s">
        <v>195</v>
      </c>
      <c r="B4" s="12" t="s">
        <v>196</v>
      </c>
    </row>
    <row r="5" customFormat="false" ht="15" hidden="false" customHeight="false" outlineLevel="0" collapsed="false">
      <c r="A5" s="10" t="s">
        <v>197</v>
      </c>
      <c r="B5" s="11" t="s">
        <v>198</v>
      </c>
    </row>
    <row r="6" customFormat="false" ht="15" hidden="false" customHeight="false" outlineLevel="0" collapsed="false">
      <c r="A6" s="10" t="s">
        <v>199</v>
      </c>
      <c r="B6" s="11" t="s">
        <v>200</v>
      </c>
    </row>
    <row r="7" customFormat="false" ht="15" hidden="false" customHeight="false" outlineLevel="0" collapsed="false">
      <c r="A7" s="10" t="s">
        <v>201</v>
      </c>
      <c r="B7" s="11"/>
    </row>
    <row r="8" customFormat="false" ht="15" hidden="false" customHeight="false" outlineLevel="0" collapsed="false">
      <c r="A8" s="10" t="s">
        <v>202</v>
      </c>
      <c r="B8" s="11"/>
    </row>
    <row r="9" customFormat="false" ht="15" hidden="false" customHeight="false" outlineLevel="0" collapsed="false">
      <c r="A9" s="10" t="s">
        <v>203</v>
      </c>
      <c r="B9" s="11"/>
    </row>
    <row r="10" customFormat="false" ht="15" hidden="false" customHeight="false" outlineLevel="0" collapsed="false">
      <c r="A10" s="10" t="s">
        <v>204</v>
      </c>
      <c r="B10" s="11"/>
    </row>
    <row r="11" customFormat="false" ht="15" hidden="false" customHeight="false" outlineLevel="0" collapsed="false">
      <c r="A11" s="10" t="s">
        <v>205</v>
      </c>
      <c r="B11" s="11"/>
    </row>
    <row r="12" customFormat="false" ht="15" hidden="false" customHeight="false" outlineLevel="0" collapsed="false">
      <c r="A12" s="10" t="s">
        <v>206</v>
      </c>
      <c r="B12" s="11"/>
    </row>
    <row r="13" customFormat="false" ht="15" hidden="false" customHeight="false" outlineLevel="0" collapsed="false">
      <c r="A13" s="10" t="s">
        <v>207</v>
      </c>
      <c r="B13" s="11"/>
    </row>
    <row r="14" customFormat="false" ht="15" hidden="false" customHeight="false" outlineLevel="0" collapsed="false">
      <c r="A14" s="10" t="s">
        <v>208</v>
      </c>
      <c r="B14" s="11"/>
    </row>
    <row r="15" customFormat="false" ht="15" hidden="false" customHeight="false" outlineLevel="0" collapsed="false">
      <c r="A15" s="10" t="s">
        <v>209</v>
      </c>
      <c r="B15" s="11" t="s">
        <v>210</v>
      </c>
    </row>
    <row r="16" customFormat="false" ht="15" hidden="false" customHeight="false" outlineLevel="0" collapsed="false">
      <c r="A16" s="10" t="s">
        <v>211</v>
      </c>
      <c r="B16" s="11"/>
    </row>
    <row r="17" customFormat="false" ht="15" hidden="false" customHeight="false" outlineLevel="0" collapsed="false">
      <c r="A17" s="10" t="s">
        <v>212</v>
      </c>
      <c r="B17" s="11"/>
    </row>
    <row r="18" customFormat="false" ht="15" hidden="false" customHeight="false" outlineLevel="0" collapsed="false">
      <c r="A18" s="10" t="s">
        <v>213</v>
      </c>
      <c r="B18" s="11"/>
    </row>
    <row r="19" customFormat="false" ht="15" hidden="false" customHeight="false" outlineLevel="0" collapsed="false">
      <c r="A19" s="10" t="s">
        <v>214</v>
      </c>
      <c r="B19" s="11" t="s">
        <v>215</v>
      </c>
    </row>
    <row r="20" customFormat="false" ht="15" hidden="false" customHeight="false" outlineLevel="0" collapsed="false">
      <c r="A20" s="10" t="s">
        <v>216</v>
      </c>
      <c r="B20" s="11" t="s">
        <v>217</v>
      </c>
    </row>
    <row r="21" customFormat="false" ht="15" hidden="false" customHeight="false" outlineLevel="0" collapsed="false">
      <c r="A21" s="10" t="s">
        <v>218</v>
      </c>
      <c r="B21" s="11" t="s">
        <v>219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2026-04-12T03:37:37Z</dcterms:created>
  <dc:creator>openpyxl</dc:creator>
  <dc:description/>
  <dc:language>en-US</dc:language>
  <cp:lastModifiedBy/>
  <dcterms:modified xsi:type="dcterms:W3CDTF">2026-04-12T03:37:37Z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